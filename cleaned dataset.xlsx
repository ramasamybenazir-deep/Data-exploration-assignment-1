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0A5019F3-6426-4094-9DCD-62CD955A7E9A}" xr6:coauthVersionLast="47" xr6:coauthVersionMax="47" xr10:uidLastSave="{00000000-0000-0000-0000-000000000000}"/>
  <bookViews>
    <workbookView xWindow="-120" yWindow="-120" windowWidth="20730" windowHeight="11160" xr2:uid="{82D5805E-4549-4068-B4B2-E24948891F46}"/>
  </bookViews>
  <sheets>
    <sheet name="cleaned datas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K26" i="1"/>
  <c r="K23" i="1"/>
  <c r="K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K14" i="1"/>
  <c r="K12" i="1"/>
  <c r="K8" i="1"/>
</calcChain>
</file>

<file path=xl/sharedStrings.xml><?xml version="1.0" encoding="utf-8"?>
<sst xmlns="http://schemas.openxmlformats.org/spreadsheetml/2006/main" count="172" uniqueCount="123">
  <si>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</si>
  <si>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</si>
  <si>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</si>
  <si>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</si>
  <si>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</si>
  <si>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</si>
  <si>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</si>
  <si>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</si>
  <si>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</si>
  <si>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</si>
  <si>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</si>
  <si>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</si>
  <si>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</si>
  <si>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</si>
  <si>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</si>
  <si>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</si>
  <si>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</si>
  <si>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</si>
  <si>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</si>
  <si>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</si>
  <si>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</si>
  <si>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</si>
  <si>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</si>
  <si>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</si>
  <si>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</si>
  <si>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</si>
  <si>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</si>
  <si>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</si>
  <si>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</si>
  <si>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</si>
  <si>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</si>
  <si>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</si>
  <si>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</si>
  <si>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</si>
  <si>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</si>
  <si>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</si>
  <si>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</si>
  <si>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</si>
  <si>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</si>
  <si>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</si>
  <si>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</si>
  <si>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</si>
  <si>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</si>
  <si>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</si>
  <si>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</si>
  <si>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</si>
  <si>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</si>
  <si>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</si>
  <si>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</si>
  <si>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</si>
  <si>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</si>
  <si>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</si>
  <si>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</si>
  <si>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</si>
  <si>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</si>
  <si>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</si>
  <si>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</si>
  <si>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</si>
  <si>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</si>
  <si>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</si>
  <si>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</si>
  <si>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</si>
  <si>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</si>
  <si>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</si>
  <si>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</si>
  <si>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</si>
  <si>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</si>
  <si>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</si>
  <si>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</si>
  <si>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</si>
  <si>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</si>
  <si>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</si>
  <si>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</si>
  <si>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</si>
  <si>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</si>
  <si>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</si>
  <si>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</si>
  <si>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</si>
  <si>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</si>
  <si>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</si>
  <si>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</si>
  <si>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</si>
  <si>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</si>
  <si>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</si>
  <si>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</si>
  <si>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</si>
  <si>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</si>
  <si>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</si>
  <si>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</si>
  <si>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</si>
  <si>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</si>
  <si>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</si>
  <si>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</si>
  <si>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</si>
  <si>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Determine how many products exist in the dataset.</t>
  </si>
  <si>
    <t>● Calculate the total price of all products in the dataset.</t>
  </si>
  <si>
    <t>Calculate the average price of the products.</t>
  </si>
  <si>
    <t>2. Minimum and Maximum Values</t>
  </si>
  <si>
    <t>● Identify the minimum price among all products.</t>
  </si>
  <si>
    <t>● Identify the maximum price among all products.</t>
  </si>
  <si>
    <t>3. Logical Function – IF</t>
  </si>
  <si>
    <t>If Price ≥ $500 → classify as High Price</t>
  </si>
  <si>
    <t>price range</t>
  </si>
  <si>
    <t>if(price&gt;500,"high price","low price)</t>
  </si>
  <si>
    <t>4. Conditional Functions – SUMIF and COUNTIF</t>
  </si>
  <si>
    <t>Use the SUMIF function to calculate the total price of products in the</t>
  </si>
  <si>
    <t>Electronics category.</t>
  </si>
  <si>
    <t>Use the COUNTIF function to determine the number of products with a price</t>
  </si>
  <si>
    <t>less than $100.</t>
  </si>
  <si>
    <t>5. Text Formatting – LEFT, RIGHT, MID</t>
  </si>
  <si>
    <t>Day</t>
  </si>
  <si>
    <t>Country code</t>
  </si>
  <si>
    <t>Month</t>
  </si>
  <si>
    <t>1.sum formula =sum(d2:d35)</t>
  </si>
  <si>
    <t>2.counta formula =counta(d2:d35)</t>
  </si>
  <si>
    <t>3.Average formula=average(d2:d35</t>
  </si>
  <si>
    <t xml:space="preserve"> minmum formula=min(d2;d35)</t>
  </si>
  <si>
    <t>maximum formula=max(d2:d35)</t>
  </si>
  <si>
    <t>left formula=left(A2,2)</t>
  </si>
  <si>
    <t>right formula=right(A2,2)</t>
  </si>
  <si>
    <t>mid formula=mid(A2,4,3)</t>
  </si>
  <si>
    <t>countif formula=countif(E2:E35,"&lt;100")</t>
  </si>
  <si>
    <t>sumif formula=sumif(f2:f35,"Electronics",d2:d35)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</si>
</sst>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49" fontId="3" fillId="0" borderId="0" xfId="0" applyNumberFormat="1" applyFont="1"/>
    <xf numFmtId="0" fontId="0" fillId="0" borderId="0" xfId="0" applyAlignment="1"/>
    <xf numFmtId="0" fontId="4" fillId="0" borderId="0" xfId="0" applyFont="1" applyAlignment="1">
      <alignment horizontal="center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789A-566B-49BE-892B-6E78F9452DB5}">
  <dimension ref="A1:S1000"/>
  <sheetViews>
    <sheetView tabSelected="1" topLeftCell="B1" workbookViewId="0">
      <selection activeCell="O17" sqref="O17"/>
    </sheetView>
  </sheetViews>
  <sheetFormatPr defaultColWidth="12.5703125" defaultRowHeight="15" x14ac:dyDescent="0.25"/>
  <cols>
    <col min="1" max="1" width="12.5703125" style="8"/>
    <col min="2" max="2" width="14.140625" style="8" customWidth="1"/>
    <col min="7" max="7" width="21.140625" customWidth="1"/>
    <col min="10" max="10" width="15.85546875" customWidth="1"/>
  </cols>
  <sheetData>
    <row r="1" spans="1:19" ht="15.75" customHeight="1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102</v>
      </c>
      <c r="H1" s="11" t="s">
        <v>110</v>
      </c>
      <c r="I1" s="11" t="s">
        <v>111</v>
      </c>
      <c r="J1" s="11" t="s">
        <v>112</v>
      </c>
    </row>
    <row r="2" spans="1:19" ht="15.75" customHeight="1" x14ac:dyDescent="0.25">
      <c r="A2" s="9" t="s">
        <v>6</v>
      </c>
      <c r="B2" s="6" t="s">
        <v>7</v>
      </c>
      <c r="C2" s="2" t="s">
        <v>8</v>
      </c>
      <c r="D2" s="2">
        <v>1000</v>
      </c>
      <c r="E2" s="2">
        <v>30</v>
      </c>
      <c r="F2" s="3" t="s">
        <v>9</v>
      </c>
      <c r="G2" t="str">
        <f>IF(D2&gt;500,"High price","Low price")</f>
        <v>High price</v>
      </c>
      <c r="H2" s="2" t="str">
        <f>LEFT(A2,2)</f>
        <v>28</v>
      </c>
      <c r="I2" s="2" t="str">
        <f>RIGHT(A2,2)</f>
        <v>US</v>
      </c>
      <c r="J2" s="2" t="str">
        <f>MID(A2,4,3)</f>
        <v>JAN</v>
      </c>
      <c r="K2" s="4" t="s">
        <v>93</v>
      </c>
      <c r="L2" s="4"/>
      <c r="P2" s="15" t="s">
        <v>113</v>
      </c>
      <c r="Q2" s="15"/>
    </row>
    <row r="3" spans="1:19" ht="15.75" customHeight="1" x14ac:dyDescent="0.25">
      <c r="A3" s="7" t="s">
        <v>10</v>
      </c>
      <c r="B3" s="7" t="s">
        <v>11</v>
      </c>
      <c r="C3" s="3" t="s">
        <v>12</v>
      </c>
      <c r="D3" s="3">
        <v>80</v>
      </c>
      <c r="E3" s="3">
        <v>15</v>
      </c>
      <c r="F3" s="3" t="s">
        <v>13</v>
      </c>
      <c r="G3" s="12" t="str">
        <f>IF(D3&gt;500,"High price","Low price")</f>
        <v>Low price</v>
      </c>
      <c r="H3" s="2" t="str">
        <f t="shared" ref="H3:H35" si="0">LEFT(A3,2)</f>
        <v>15</v>
      </c>
      <c r="I3" s="2" t="str">
        <f t="shared" ref="I3:I35" si="1">RIGHT(A3,2)</f>
        <v>US</v>
      </c>
      <c r="J3" s="2" t="str">
        <f t="shared" ref="J3:J35" si="2">MID(A3,4,3)</f>
        <v>FEB</v>
      </c>
      <c r="K3" s="4" t="s">
        <v>95</v>
      </c>
      <c r="L3" s="4"/>
      <c r="M3" s="4"/>
      <c r="N3" s="4"/>
      <c r="P3" s="15" t="s">
        <v>114</v>
      </c>
      <c r="Q3" s="15"/>
      <c r="R3" s="15"/>
    </row>
    <row r="4" spans="1:19" ht="15.75" customHeight="1" x14ac:dyDescent="0.25">
      <c r="A4" s="6" t="s">
        <v>14</v>
      </c>
      <c r="B4" s="6" t="s">
        <v>15</v>
      </c>
      <c r="C4" s="2" t="s">
        <v>16</v>
      </c>
      <c r="D4" s="2">
        <v>130</v>
      </c>
      <c r="E4" s="2">
        <v>40</v>
      </c>
      <c r="F4" s="2" t="s">
        <v>17</v>
      </c>
      <c r="G4" s="12" t="str">
        <f t="shared" ref="G3:G35" si="3">IF(D4&gt;500,"High price","Low price")</f>
        <v>Low price</v>
      </c>
      <c r="H4" s="2" t="str">
        <f t="shared" si="0"/>
        <v>03</v>
      </c>
      <c r="I4" s="2" t="str">
        <f t="shared" si="1"/>
        <v>US</v>
      </c>
      <c r="J4" s="2" t="str">
        <f t="shared" si="2"/>
        <v>MAR</v>
      </c>
      <c r="K4" s="13">
        <f>SUM(D2:D35)</f>
        <v>10100</v>
      </c>
      <c r="P4" s="15" t="s">
        <v>115</v>
      </c>
      <c r="Q4" s="15"/>
      <c r="R4" s="15"/>
    </row>
    <row r="5" spans="1:19" ht="15.75" customHeight="1" x14ac:dyDescent="0.25">
      <c r="A5" s="7" t="s">
        <v>18</v>
      </c>
      <c r="B5" s="7" t="s">
        <v>19</v>
      </c>
      <c r="C5" s="3" t="s">
        <v>20</v>
      </c>
      <c r="D5" s="3">
        <v>900</v>
      </c>
      <c r="E5" s="3">
        <v>25</v>
      </c>
      <c r="F5" s="3" t="s">
        <v>9</v>
      </c>
      <c r="G5" s="12" t="str">
        <f t="shared" si="3"/>
        <v>High price</v>
      </c>
      <c r="H5" s="2" t="str">
        <f t="shared" si="0"/>
        <v>11</v>
      </c>
      <c r="I5" s="2" t="str">
        <f t="shared" si="1"/>
        <v>US</v>
      </c>
      <c r="J5" s="2" t="str">
        <f t="shared" si="2"/>
        <v>APR</v>
      </c>
      <c r="K5" s="4" t="s">
        <v>94</v>
      </c>
      <c r="L5" s="4"/>
      <c r="M5" s="4"/>
      <c r="N5" s="4"/>
      <c r="P5" s="15" t="s">
        <v>116</v>
      </c>
      <c r="Q5" s="15"/>
      <c r="R5" s="15"/>
    </row>
    <row r="6" spans="1:19" ht="15.75" customHeight="1" x14ac:dyDescent="0.25">
      <c r="A6" s="6" t="s">
        <v>21</v>
      </c>
      <c r="B6" s="6" t="s">
        <v>22</v>
      </c>
      <c r="C6" s="2" t="s">
        <v>23</v>
      </c>
      <c r="D6" s="2">
        <v>70</v>
      </c>
      <c r="E6" s="2">
        <v>20</v>
      </c>
      <c r="F6" s="2" t="s">
        <v>24</v>
      </c>
      <c r="G6" s="12" t="str">
        <f t="shared" si="3"/>
        <v>Low price</v>
      </c>
      <c r="H6" s="2" t="str">
        <f t="shared" si="0"/>
        <v>22</v>
      </c>
      <c r="I6" s="2" t="str">
        <f t="shared" si="1"/>
        <v>US</v>
      </c>
      <c r="J6" s="2" t="str">
        <f t="shared" si="2"/>
        <v>MAY</v>
      </c>
      <c r="K6" s="13">
        <f>COUNTA(B2:B35)</f>
        <v>34</v>
      </c>
      <c r="P6" s="15" t="s">
        <v>117</v>
      </c>
      <c r="Q6" s="15"/>
      <c r="R6" s="15"/>
    </row>
    <row r="7" spans="1:19" ht="15.75" customHeight="1" x14ac:dyDescent="0.25">
      <c r="A7" s="7" t="s">
        <v>25</v>
      </c>
      <c r="B7" s="7" t="s">
        <v>26</v>
      </c>
      <c r="C7" s="3" t="s">
        <v>27</v>
      </c>
      <c r="D7" s="3">
        <v>200</v>
      </c>
      <c r="E7" s="3">
        <v>45</v>
      </c>
      <c r="F7" s="3" t="s">
        <v>9</v>
      </c>
      <c r="G7" s="12" t="str">
        <f t="shared" si="3"/>
        <v>Low price</v>
      </c>
      <c r="H7" s="2" t="str">
        <f t="shared" si="0"/>
        <v>07</v>
      </c>
      <c r="I7" s="2" t="str">
        <f t="shared" si="1"/>
        <v>UK</v>
      </c>
      <c r="J7" s="2" t="str">
        <f t="shared" si="2"/>
        <v>JUN</v>
      </c>
      <c r="K7" s="4" t="s">
        <v>96</v>
      </c>
      <c r="L7" s="4"/>
      <c r="M7" s="4"/>
      <c r="N7" s="4"/>
    </row>
    <row r="8" spans="1:19" ht="15.75" customHeight="1" x14ac:dyDescent="0.25">
      <c r="A8" s="6" t="s">
        <v>28</v>
      </c>
      <c r="B8" s="6" t="s">
        <v>29</v>
      </c>
      <c r="C8" s="2" t="s">
        <v>30</v>
      </c>
      <c r="D8" s="2">
        <v>30</v>
      </c>
      <c r="E8" s="2">
        <v>5</v>
      </c>
      <c r="F8" s="2" t="s">
        <v>13</v>
      </c>
      <c r="G8" s="12" t="str">
        <f t="shared" si="3"/>
        <v>Low price</v>
      </c>
      <c r="H8" s="2" t="str">
        <f t="shared" si="0"/>
        <v>19</v>
      </c>
      <c r="I8" s="2" t="str">
        <f t="shared" si="1"/>
        <v>UK</v>
      </c>
      <c r="J8" s="2" t="str">
        <f t="shared" si="2"/>
        <v>JUL</v>
      </c>
      <c r="K8" s="13">
        <f>AVERAGE(D2:D35)</f>
        <v>297.05882352941177</v>
      </c>
    </row>
    <row r="9" spans="1:19" ht="15.75" customHeight="1" x14ac:dyDescent="0.25">
      <c r="A9" s="7" t="s">
        <v>31</v>
      </c>
      <c r="B9" s="7" t="s">
        <v>32</v>
      </c>
      <c r="C9" s="3" t="s">
        <v>33</v>
      </c>
      <c r="D9" s="3">
        <v>90</v>
      </c>
      <c r="E9" s="3">
        <v>35</v>
      </c>
      <c r="F9" s="3" t="s">
        <v>17</v>
      </c>
      <c r="G9" s="12" t="str">
        <f t="shared" si="3"/>
        <v>Low price</v>
      </c>
      <c r="H9" s="2" t="str">
        <f t="shared" si="0"/>
        <v>23</v>
      </c>
      <c r="I9" s="2" t="str">
        <f t="shared" si="1"/>
        <v>UK</v>
      </c>
      <c r="J9" s="2" t="str">
        <f t="shared" si="2"/>
        <v>AUG</v>
      </c>
    </row>
    <row r="10" spans="1:19" ht="15.75" customHeight="1" x14ac:dyDescent="0.25">
      <c r="A10" s="6" t="s">
        <v>34</v>
      </c>
      <c r="B10" s="6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12" t="str">
        <f t="shared" si="3"/>
        <v>Low price</v>
      </c>
      <c r="H10" s="2" t="str">
        <f t="shared" si="0"/>
        <v>05</v>
      </c>
      <c r="I10" s="2" t="str">
        <f t="shared" si="1"/>
        <v>UK</v>
      </c>
      <c r="J10" s="2" t="str">
        <f t="shared" si="2"/>
        <v>SEP</v>
      </c>
      <c r="K10" s="10" t="s">
        <v>97</v>
      </c>
      <c r="L10" s="10"/>
      <c r="M10" s="10"/>
      <c r="Q10" s="4" t="s">
        <v>109</v>
      </c>
      <c r="R10" s="4"/>
      <c r="S10" s="4"/>
    </row>
    <row r="11" spans="1:19" ht="15.75" customHeight="1" x14ac:dyDescent="0.25">
      <c r="A11" s="7" t="s">
        <v>37</v>
      </c>
      <c r="B11" s="7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12" t="str">
        <f t="shared" si="3"/>
        <v>Low price</v>
      </c>
      <c r="H11" s="2" t="str">
        <f t="shared" si="0"/>
        <v>14</v>
      </c>
      <c r="I11" s="2" t="str">
        <f t="shared" si="1"/>
        <v>UK</v>
      </c>
      <c r="J11" s="2" t="str">
        <f t="shared" si="2"/>
        <v>OCT</v>
      </c>
      <c r="K11" s="4" t="s">
        <v>98</v>
      </c>
      <c r="L11" s="4"/>
      <c r="M11" s="4"/>
      <c r="N11" s="4"/>
      <c r="Q11" s="15" t="s">
        <v>118</v>
      </c>
      <c r="R11" s="15"/>
    </row>
    <row r="12" spans="1:19" ht="15.75" customHeight="1" x14ac:dyDescent="0.25">
      <c r="A12" s="6" t="s">
        <v>40</v>
      </c>
      <c r="B12" s="6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12" t="str">
        <f t="shared" si="3"/>
        <v>High price</v>
      </c>
      <c r="H12" s="2" t="str">
        <f t="shared" si="0"/>
        <v>17</v>
      </c>
      <c r="I12" s="2" t="str">
        <f t="shared" si="1"/>
        <v>IN</v>
      </c>
      <c r="J12" s="2" t="str">
        <f t="shared" si="2"/>
        <v>JUN</v>
      </c>
      <c r="K12" s="13">
        <f>MIN(D2:D35)</f>
        <v>30</v>
      </c>
      <c r="Q12" s="15" t="s">
        <v>119</v>
      </c>
      <c r="R12" s="15"/>
    </row>
    <row r="13" spans="1:19" ht="15.75" customHeight="1" x14ac:dyDescent="0.25">
      <c r="A13" s="7" t="s">
        <v>42</v>
      </c>
      <c r="B13" s="7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12" t="str">
        <f t="shared" si="3"/>
        <v>Low price</v>
      </c>
      <c r="H13" s="2" t="str">
        <f t="shared" si="0"/>
        <v>25</v>
      </c>
      <c r="I13" s="2" t="str">
        <f t="shared" si="1"/>
        <v>AU</v>
      </c>
      <c r="J13" s="2" t="str">
        <f t="shared" si="2"/>
        <v>NOV</v>
      </c>
      <c r="K13" s="4" t="s">
        <v>99</v>
      </c>
      <c r="L13" s="4"/>
      <c r="M13" s="4"/>
      <c r="N13" s="4"/>
      <c r="Q13" s="15" t="s">
        <v>120</v>
      </c>
      <c r="R13" s="15"/>
    </row>
    <row r="14" spans="1:19" ht="15.75" customHeight="1" x14ac:dyDescent="0.25">
      <c r="A14" s="6" t="s">
        <v>43</v>
      </c>
      <c r="B14" s="6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12" t="str">
        <f t="shared" si="3"/>
        <v>Low price</v>
      </c>
      <c r="H14" s="2" t="str">
        <f t="shared" si="0"/>
        <v>08</v>
      </c>
      <c r="I14" s="2" t="str">
        <f t="shared" si="1"/>
        <v>DE</v>
      </c>
      <c r="J14" s="2" t="str">
        <f t="shared" si="2"/>
        <v>DEC</v>
      </c>
      <c r="K14" s="13">
        <f>MAX(D2:D35)</f>
        <v>1000</v>
      </c>
    </row>
    <row r="15" spans="1:19" ht="15.75" customHeight="1" x14ac:dyDescent="0.25">
      <c r="A15" s="7" t="s">
        <v>45</v>
      </c>
      <c r="B15" s="7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12" t="str">
        <f t="shared" si="3"/>
        <v>Low price</v>
      </c>
      <c r="H15" s="2" t="str">
        <f t="shared" si="0"/>
        <v>18</v>
      </c>
      <c r="I15" s="2" t="str">
        <f t="shared" si="1"/>
        <v>CA</v>
      </c>
      <c r="J15" s="2" t="str">
        <f t="shared" si="2"/>
        <v>FEB</v>
      </c>
    </row>
    <row r="16" spans="1:19" ht="15.75" customHeight="1" x14ac:dyDescent="0.25">
      <c r="A16" s="6" t="s">
        <v>48</v>
      </c>
      <c r="B16" s="6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12" t="str">
        <f t="shared" si="3"/>
        <v>Low price</v>
      </c>
      <c r="H16" s="2" t="str">
        <f t="shared" si="0"/>
        <v>16</v>
      </c>
      <c r="I16" s="2" t="str">
        <f t="shared" si="1"/>
        <v>ES</v>
      </c>
      <c r="J16" s="2" t="str">
        <f t="shared" si="2"/>
        <v>APR</v>
      </c>
      <c r="K16" s="4" t="s">
        <v>100</v>
      </c>
      <c r="L16" s="4"/>
    </row>
    <row r="17" spans="1:15" ht="15.75" customHeight="1" x14ac:dyDescent="0.25">
      <c r="A17" s="7" t="s">
        <v>50</v>
      </c>
      <c r="B17" s="7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2" t="str">
        <f t="shared" si="3"/>
        <v>Low price</v>
      </c>
      <c r="H17" s="2" t="str">
        <f t="shared" si="0"/>
        <v>21</v>
      </c>
      <c r="I17" s="2" t="str">
        <f t="shared" si="1"/>
        <v>CA</v>
      </c>
      <c r="J17" s="2" t="str">
        <f t="shared" si="2"/>
        <v>AUG</v>
      </c>
      <c r="K17" s="4" t="s">
        <v>101</v>
      </c>
      <c r="L17" s="4"/>
      <c r="M17" s="4"/>
    </row>
    <row r="18" spans="1:15" ht="15.75" customHeight="1" x14ac:dyDescent="0.25">
      <c r="A18" s="6" t="s">
        <v>54</v>
      </c>
      <c r="B18" s="6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12" t="str">
        <f t="shared" si="3"/>
        <v>Low price</v>
      </c>
      <c r="H18" s="2" t="str">
        <f t="shared" si="0"/>
        <v>20</v>
      </c>
      <c r="I18" s="2" t="str">
        <f t="shared" si="1"/>
        <v>CN</v>
      </c>
      <c r="J18" s="2" t="str">
        <f t="shared" si="2"/>
        <v>AUG</v>
      </c>
      <c r="K18" s="14" t="s">
        <v>103</v>
      </c>
      <c r="L18" s="14"/>
      <c r="M18" s="14"/>
    </row>
    <row r="19" spans="1:15" ht="15.75" customHeight="1" x14ac:dyDescent="0.25">
      <c r="A19" s="7" t="s">
        <v>56</v>
      </c>
      <c r="B19" s="7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12" t="str">
        <f t="shared" si="3"/>
        <v>High price</v>
      </c>
      <c r="H19" s="2" t="str">
        <f t="shared" si="0"/>
        <v>27</v>
      </c>
      <c r="I19" s="2" t="str">
        <f t="shared" si="1"/>
        <v>IT</v>
      </c>
      <c r="J19" s="2" t="str">
        <f t="shared" si="2"/>
        <v>JAN</v>
      </c>
    </row>
    <row r="20" spans="1:15" ht="15.75" customHeight="1" x14ac:dyDescent="0.25">
      <c r="A20" s="6" t="s">
        <v>58</v>
      </c>
      <c r="B20" s="6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12" t="str">
        <f t="shared" si="3"/>
        <v>Low price</v>
      </c>
      <c r="H20" s="2" t="str">
        <f t="shared" si="0"/>
        <v>01</v>
      </c>
      <c r="I20" s="2" t="str">
        <f t="shared" si="1"/>
        <v>UK</v>
      </c>
      <c r="J20" s="2" t="str">
        <f t="shared" si="2"/>
        <v>MAR</v>
      </c>
      <c r="K20" s="4" t="s">
        <v>104</v>
      </c>
      <c r="L20" s="4"/>
      <c r="M20" s="4"/>
      <c r="N20" s="4"/>
    </row>
    <row r="21" spans="1:15" ht="15.75" customHeight="1" x14ac:dyDescent="0.25">
      <c r="A21" s="7" t="s">
        <v>61</v>
      </c>
      <c r="B21" s="7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12" t="str">
        <f t="shared" si="3"/>
        <v>Low price</v>
      </c>
      <c r="H21" s="2" t="str">
        <f t="shared" si="0"/>
        <v>14</v>
      </c>
      <c r="I21" s="2" t="str">
        <f t="shared" si="1"/>
        <v>US</v>
      </c>
      <c r="J21" s="2" t="str">
        <f t="shared" si="2"/>
        <v>AUG</v>
      </c>
      <c r="K21" t="s">
        <v>105</v>
      </c>
    </row>
    <row r="22" spans="1:15" ht="15.75" customHeight="1" x14ac:dyDescent="0.25">
      <c r="A22" s="6" t="s">
        <v>64</v>
      </c>
      <c r="B22" s="6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12" t="str">
        <f t="shared" si="3"/>
        <v>High price</v>
      </c>
      <c r="H22" s="2" t="str">
        <f t="shared" si="0"/>
        <v>14</v>
      </c>
      <c r="I22" s="2" t="str">
        <f t="shared" si="1"/>
        <v>RU</v>
      </c>
      <c r="J22" s="2" t="str">
        <f t="shared" si="2"/>
        <v>MAY</v>
      </c>
      <c r="K22" t="s">
        <v>106</v>
      </c>
    </row>
    <row r="23" spans="1:15" ht="15.75" customHeight="1" x14ac:dyDescent="0.25">
      <c r="A23" s="7" t="s">
        <v>67</v>
      </c>
      <c r="B23" s="7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12" t="str">
        <f t="shared" si="3"/>
        <v>Low price</v>
      </c>
      <c r="H23" s="2" t="str">
        <f t="shared" si="0"/>
        <v>09</v>
      </c>
      <c r="I23" s="2" t="str">
        <f t="shared" si="1"/>
        <v>CA</v>
      </c>
      <c r="J23" s="2" t="str">
        <f t="shared" si="2"/>
        <v>JAN</v>
      </c>
      <c r="K23" s="13">
        <f>SUMIF(F2:F35,"electronics",D2:D35)</f>
        <v>8050</v>
      </c>
      <c r="L23" s="15" t="s">
        <v>122</v>
      </c>
      <c r="M23" s="15"/>
      <c r="N23" s="15"/>
      <c r="O23" s="15"/>
    </row>
    <row r="24" spans="1:15" ht="15.75" customHeight="1" x14ac:dyDescent="0.25">
      <c r="A24" s="6" t="s">
        <v>70</v>
      </c>
      <c r="B24" s="6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12" t="str">
        <f t="shared" si="3"/>
        <v>Low price</v>
      </c>
      <c r="H24" s="2" t="str">
        <f t="shared" si="0"/>
        <v>19</v>
      </c>
      <c r="I24" s="2" t="str">
        <f t="shared" si="1"/>
        <v>BR</v>
      </c>
      <c r="J24" s="2" t="str">
        <f t="shared" si="2"/>
        <v>JUL</v>
      </c>
      <c r="K24" t="s">
        <v>107</v>
      </c>
    </row>
    <row r="25" spans="1:15" ht="15.75" customHeight="1" x14ac:dyDescent="0.25">
      <c r="A25" s="7" t="s">
        <v>50</v>
      </c>
      <c r="B25" s="7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12" t="str">
        <f t="shared" si="3"/>
        <v>Low price</v>
      </c>
      <c r="H25" s="2" t="str">
        <f t="shared" si="0"/>
        <v>21</v>
      </c>
      <c r="I25" s="2" t="str">
        <f t="shared" si="1"/>
        <v>CA</v>
      </c>
      <c r="J25" s="2" t="str">
        <f t="shared" si="2"/>
        <v>AUG</v>
      </c>
      <c r="K25" t="s">
        <v>108</v>
      </c>
    </row>
    <row r="26" spans="1:15" ht="15.75" customHeight="1" x14ac:dyDescent="0.25">
      <c r="A26" s="6" t="s">
        <v>73</v>
      </c>
      <c r="B26" s="6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12" t="str">
        <f t="shared" si="3"/>
        <v>High price</v>
      </c>
      <c r="H26" s="2" t="str">
        <f t="shared" si="0"/>
        <v>29</v>
      </c>
      <c r="I26" s="2" t="str">
        <f t="shared" si="1"/>
        <v>CA</v>
      </c>
      <c r="J26" s="2" t="str">
        <f t="shared" si="2"/>
        <v>SEP</v>
      </c>
      <c r="K26" s="13">
        <f>COUNTIF(E2:E35,"&lt;100")</f>
        <v>34</v>
      </c>
      <c r="L26" s="15" t="s">
        <v>121</v>
      </c>
      <c r="M26" s="15"/>
      <c r="N26" s="15"/>
    </row>
    <row r="27" spans="1:15" ht="15.75" customHeight="1" x14ac:dyDescent="0.25">
      <c r="A27" s="7" t="s">
        <v>75</v>
      </c>
      <c r="B27" s="7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12" t="str">
        <f t="shared" si="3"/>
        <v>Low price</v>
      </c>
      <c r="H27" s="2" t="str">
        <f t="shared" si="0"/>
        <v>03</v>
      </c>
      <c r="I27" s="2" t="str">
        <f t="shared" si="1"/>
        <v>CA</v>
      </c>
      <c r="J27" s="2" t="str">
        <f t="shared" si="2"/>
        <v>JUN</v>
      </c>
    </row>
    <row r="28" spans="1:15" ht="15.75" customHeight="1" x14ac:dyDescent="0.25">
      <c r="A28" s="6" t="s">
        <v>77</v>
      </c>
      <c r="B28" s="6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12" t="str">
        <f t="shared" si="3"/>
        <v>Low price</v>
      </c>
      <c r="H28" s="2" t="str">
        <f t="shared" si="0"/>
        <v>11</v>
      </c>
      <c r="I28" s="2" t="str">
        <f t="shared" si="1"/>
        <v>CA</v>
      </c>
      <c r="J28" s="2" t="str">
        <f t="shared" si="2"/>
        <v>JUL</v>
      </c>
    </row>
    <row r="29" spans="1:15" ht="15.75" customHeight="1" x14ac:dyDescent="0.25">
      <c r="A29" s="7" t="s">
        <v>48</v>
      </c>
      <c r="B29" s="7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12" t="str">
        <f t="shared" si="3"/>
        <v>Low price</v>
      </c>
      <c r="H29" s="2" t="str">
        <f t="shared" si="0"/>
        <v>16</v>
      </c>
      <c r="I29" s="2" t="str">
        <f t="shared" si="1"/>
        <v>ES</v>
      </c>
      <c r="J29" s="2" t="str">
        <f t="shared" si="2"/>
        <v>APR</v>
      </c>
    </row>
    <row r="30" spans="1:15" ht="15.75" customHeight="1" x14ac:dyDescent="0.25">
      <c r="A30" s="6" t="s">
        <v>79</v>
      </c>
      <c r="B30" s="6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12" t="str">
        <f t="shared" si="3"/>
        <v>Low price</v>
      </c>
      <c r="H30" s="2" t="str">
        <f t="shared" si="0"/>
        <v>07</v>
      </c>
      <c r="I30" s="2" t="str">
        <f t="shared" si="1"/>
        <v>CA</v>
      </c>
      <c r="J30" s="2" t="str">
        <f t="shared" si="2"/>
        <v>MAR</v>
      </c>
    </row>
    <row r="31" spans="1:15" ht="15.75" customHeight="1" x14ac:dyDescent="0.25">
      <c r="A31" s="7" t="s">
        <v>82</v>
      </c>
      <c r="B31" s="7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12" t="str">
        <f t="shared" si="3"/>
        <v>Low price</v>
      </c>
      <c r="H31" s="2" t="str">
        <f t="shared" si="0"/>
        <v>13</v>
      </c>
      <c r="I31" s="2" t="str">
        <f t="shared" si="1"/>
        <v>CA</v>
      </c>
      <c r="J31" s="2" t="str">
        <f t="shared" si="2"/>
        <v>APR</v>
      </c>
    </row>
    <row r="32" spans="1:15" ht="15.75" customHeight="1" x14ac:dyDescent="0.25">
      <c r="A32" s="6" t="s">
        <v>85</v>
      </c>
      <c r="B32" s="6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12" t="str">
        <f t="shared" si="3"/>
        <v>Low price</v>
      </c>
      <c r="H32" s="2" t="str">
        <f t="shared" si="0"/>
        <v>24</v>
      </c>
      <c r="I32" s="2" t="str">
        <f t="shared" si="1"/>
        <v>CA</v>
      </c>
      <c r="J32" s="2" t="str">
        <f t="shared" si="2"/>
        <v>MAY</v>
      </c>
    </row>
    <row r="33" spans="1:10" ht="15.75" customHeight="1" x14ac:dyDescent="0.25">
      <c r="A33" s="7" t="s">
        <v>87</v>
      </c>
      <c r="B33" s="7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12" t="str">
        <f t="shared" si="3"/>
        <v>Low price</v>
      </c>
      <c r="H33" s="2" t="str">
        <f t="shared" si="0"/>
        <v>02</v>
      </c>
      <c r="I33" s="2" t="str">
        <f t="shared" si="1"/>
        <v>CA</v>
      </c>
      <c r="J33" s="2" t="str">
        <f t="shared" si="2"/>
        <v>DEC</v>
      </c>
    </row>
    <row r="34" spans="1:10" ht="15.75" customHeight="1" x14ac:dyDescent="0.25">
      <c r="A34" s="6" t="s">
        <v>40</v>
      </c>
      <c r="B34" s="6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12" t="str">
        <f t="shared" si="3"/>
        <v>High price</v>
      </c>
      <c r="H34" s="2" t="str">
        <f t="shared" si="0"/>
        <v>17</v>
      </c>
      <c r="I34" s="2" t="str">
        <f t="shared" si="1"/>
        <v>IN</v>
      </c>
      <c r="J34" s="2" t="str">
        <f t="shared" si="2"/>
        <v>JUN</v>
      </c>
    </row>
    <row r="35" spans="1:10" ht="15.75" customHeight="1" x14ac:dyDescent="0.25">
      <c r="A35" s="7" t="s">
        <v>90</v>
      </c>
      <c r="B35" s="7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12" t="str">
        <f t="shared" si="3"/>
        <v>Low price</v>
      </c>
      <c r="H35" s="2" t="str">
        <f t="shared" si="0"/>
        <v>09</v>
      </c>
      <c r="I35" s="2" t="str">
        <f t="shared" si="1"/>
        <v>FR</v>
      </c>
      <c r="J35" s="2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26:N26"/>
    <mergeCell ref="P6:R6"/>
    <mergeCell ref="P5:R5"/>
    <mergeCell ref="P4:R4"/>
    <mergeCell ref="P3:R3"/>
    <mergeCell ref="P2:Q2"/>
    <mergeCell ref="L23:O23"/>
    <mergeCell ref="K18:M18"/>
    <mergeCell ref="K20:N20"/>
    <mergeCell ref="Q10:S10"/>
    <mergeCell ref="Q11:R11"/>
    <mergeCell ref="Q12:R12"/>
    <mergeCell ref="Q13:R13"/>
    <mergeCell ref="K7:N7"/>
    <mergeCell ref="K11:N11"/>
    <mergeCell ref="K13:N13"/>
    <mergeCell ref="K16:L16"/>
    <mergeCell ref="K17:M17"/>
    <mergeCell ref="K2:L2"/>
    <mergeCell ref="K3:N3"/>
    <mergeCell ref="K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2026-06-09T07:29:15Z</dcterms:created>
  <dcterms:modified xsi:type="dcterms:W3CDTF">2026-06-09T09:47:27Z</dcterms:modified>
</cp:coreProperties>
</file>